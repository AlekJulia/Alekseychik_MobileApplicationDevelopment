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la\Desktop\Модель\"/>
    </mc:Choice>
  </mc:AlternateContent>
  <xr:revisionPtr revIDLastSave="0" documentId="13_ncr:1_{A90A1A7C-F9C5-4020-AD80-121A6894223F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5" i="1" l="1"/>
  <c r="G45" i="1"/>
  <c r="F45" i="1"/>
  <c r="E45" i="1"/>
  <c r="D45" i="1"/>
  <c r="C45" i="1"/>
  <c r="B45" i="1"/>
  <c r="H44" i="1"/>
  <c r="G44" i="1"/>
  <c r="F44" i="1"/>
  <c r="E44" i="1"/>
  <c r="D44" i="1"/>
  <c r="C44" i="1"/>
  <c r="B44" i="1"/>
</calcChain>
</file>

<file path=xl/sharedStrings.xml><?xml version="1.0" encoding="utf-8"?>
<sst xmlns="http://schemas.openxmlformats.org/spreadsheetml/2006/main" count="7" uniqueCount="6">
  <si>
    <t>y</t>
  </si>
  <si>
    <r>
      <t>π</t>
    </r>
    <r>
      <rPr>
        <vertAlign val="subscript"/>
        <sz val="20"/>
        <color rgb="FF000000"/>
        <rFont val="Calibri Light"/>
        <family val="2"/>
        <charset val="204"/>
        <scheme val="major"/>
      </rPr>
      <t>1</t>
    </r>
  </si>
  <si>
    <r>
      <t>π</t>
    </r>
    <r>
      <rPr>
        <vertAlign val="subscript"/>
        <sz val="20"/>
        <color rgb="FF000000"/>
        <rFont val="Calibri Light"/>
        <family val="2"/>
        <charset val="204"/>
        <scheme val="major"/>
      </rPr>
      <t>2</t>
    </r>
  </si>
  <si>
    <r>
      <t>π</t>
    </r>
    <r>
      <rPr>
        <vertAlign val="subscript"/>
        <sz val="20"/>
        <color rgb="FF000000"/>
        <rFont val="Calibri Light"/>
        <family val="2"/>
        <charset val="204"/>
        <scheme val="major"/>
      </rPr>
      <t>3</t>
    </r>
    <r>
      <rPr>
        <sz val="20"/>
        <color rgb="FF000000"/>
        <rFont val="Calibri Light"/>
        <family val="2"/>
        <charset val="204"/>
        <scheme val="major"/>
      </rPr>
      <t>​</t>
    </r>
  </si>
  <si>
    <t>Теор.</t>
  </si>
  <si>
    <t>Эмпир.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</si>
</sst>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  <charset val="204"/>
    </font>
    <font>
      <sz val="20"/>
      <color theme="1"/>
      <name val="Calibri Light"/>
      <family val="2"/>
      <charset val="204"/>
      <scheme val="major"/>
    </font>
    <font>
      <sz val="20"/>
      <color rgb="FF000000"/>
      <name val="Calibri Light"/>
      <family val="2"/>
      <charset val="204"/>
      <scheme val="major"/>
    </font>
    <font>
      <vertAlign val="subscript"/>
      <sz val="20"/>
      <color rgb="FF000000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Стиль таблицы 1" pivot="0" count="0" xr9:uid="{FC3BEC67-3E1E-485B-AE31-14D1A84661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744419048260457E-2"/>
          <c:y val="0.10369284058213915"/>
          <c:w val="0.83127541640209834"/>
          <c:h val="0.71804387464173569"/>
        </c:manualLayout>
      </c:layout>
      <c:scatterChart>
        <c:scatterStyle val="lineMarker"/>
        <c:varyColors val="0"/>
        <c:ser>
          <c:idx val="0"/>
          <c:order val="0"/>
          <c:tx>
            <c:v>n = 10 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Лист1!$B$1:$F$1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Лист1!$B$2:$B$4</c:f>
              <c:numCache>
                <c:formatCode>General</c:formatCode>
                <c:ptCount val="3"/>
                <c:pt idx="0">
                  <c:v>0.36</c:v>
                </c:pt>
                <c:pt idx="1">
                  <c:v>0.52300000000000002</c:v>
                </c:pt>
                <c:pt idx="2">
                  <c:v>0.11700000000000001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92-4F87-BB85-DDF1C79159E3}"/>
            </c:ext>
          </c:extLst>
        </c:ser>
        <c:ser>
          <c:idx val="1"/>
          <c:order val="1"/>
          <c:tx>
            <c:v>n = 1000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Лист1!$B$1:$F$1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Лист1!$C$2:$C$4</c:f>
              <c:numCache>
                <c:formatCode>General</c:formatCode>
                <c:ptCount val="3"/>
                <c:pt idx="0">
                  <c:v>0.53100000000000003</c:v>
                </c:pt>
                <c:pt idx="1">
                  <c:v>0.30099999999999999</c:v>
                </c:pt>
                <c:pt idx="2">
                  <c:v>0.16800000000000001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92-4F87-BB85-DDF1C79159E3}"/>
            </c:ext>
          </c:extLst>
        </c:ser>
        <c:ser>
          <c:idx val="2"/>
          <c:order val="2"/>
          <c:tx>
            <c:v>n = 10000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Лист1!$B$1:$F$1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Лист1!$D$2:$D$4</c:f>
              <c:numCache>
                <c:formatCode>General</c:formatCode>
                <c:ptCount val="3"/>
                <c:pt idx="0">
                  <c:v>0.49199999999999999</c:v>
                </c:pt>
                <c:pt idx="1">
                  <c:v>0.30599999999999999</c:v>
                </c:pt>
                <c:pt idx="2">
                  <c:v>0.20100000000000001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92-4F87-BB85-DDF1C79159E3}"/>
            </c:ext>
          </c:extLst>
        </c:ser>
        <c:ser>
          <c:idx val="3"/>
          <c:order val="3"/>
          <c:tx>
            <c:v>n = 100000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Лист1!$B$1:$F$1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Лист1!$E$2:$E$4</c:f>
              <c:numCache>
                <c:formatCode>General</c:formatCode>
                <c:ptCount val="3"/>
                <c:pt idx="0">
                  <c:v>0.499</c:v>
                </c:pt>
                <c:pt idx="1">
                  <c:v>0.3</c:v>
                </c:pt>
                <c:pt idx="2">
                  <c:v>0.20100000000000001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92-4F87-BB85-DDF1C79159E3}"/>
            </c:ext>
          </c:extLst>
        </c:ser>
        <c:ser>
          <c:idx val="4"/>
          <c:order val="4"/>
          <c:tx>
            <c:v>Теоретические вероятности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Лист1!$B$1:$F$1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Лист1!$F$2:$F$4</c:f>
              <c:numCache>
                <c:formatCode>General</c:formatCode>
                <c:ptCount val="3"/>
                <c:pt idx="0">
                  <c:v>0.50700000000000001</c:v>
                </c:pt>
                <c:pt idx="1">
                  <c:v>0.30299999999999999</c:v>
                </c:pt>
                <c:pt idx="2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92-4F87-BB85-DDF1C7915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739408"/>
        <c:axId val="1088454992"/>
      </c:scatterChart>
      <c:valAx>
        <c:axId val="98973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8454992"/>
        <c:crosses val="autoZero"/>
        <c:crossBetween val="midCat"/>
      </c:valAx>
      <c:valAx>
        <c:axId val="108845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973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Лист1!$A$44</c:f>
              <c:strCache>
                <c:ptCount val="1"/>
                <c:pt idx="0">
                  <c:v>Эмпир.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Лист1!$B$43:$H$43</c15:sqref>
                  </c15:fullRef>
                </c:ext>
              </c:extLst>
              <c:f>Лист1!$B$43:$G$43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Лист1!$B$44:$H$44</c15:sqref>
                  </c15:fullRef>
                </c:ext>
              </c:extLst>
              <c:f>Лист1!$B$44:$G$44</c:f>
              <c:numCache>
                <c:formatCode>General</c:formatCode>
                <c:ptCount val="6"/>
                <c:pt idx="0">
                  <c:v>0.4471</c:v>
                </c:pt>
                <c:pt idx="1">
                  <c:v>0.36209999999999998</c:v>
                </c:pt>
                <c:pt idx="2">
                  <c:v>0.14249999999999999</c:v>
                </c:pt>
                <c:pt idx="3">
                  <c:v>3.8899999999999997E-2</c:v>
                </c:pt>
                <c:pt idx="4">
                  <c:v>7.7999999999999996E-3</c:v>
                </c:pt>
                <c:pt idx="5">
                  <c:v>1.4E-3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1-43F1-BF3B-D24FD0D6255D}"/>
            </c:ext>
          </c:extLst>
        </c:ser>
        <c:ser>
          <c:idx val="1"/>
          <c:order val="1"/>
          <c:tx>
            <c:strRef>
              <c:f>Лист1!$A$45</c:f>
              <c:strCache>
                <c:ptCount val="1"/>
                <c:pt idx="0">
                  <c:v>Теор.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Лист1!$B$43:$H$43</c15:sqref>
                  </c15:fullRef>
                </c:ext>
              </c:extLst>
              <c:f>Лист1!$B$43:$G$43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Лист1!$B$45:$H$45</c15:sqref>
                  </c15:fullRef>
                </c:ext>
              </c:extLst>
              <c:f>Лист1!$B$45:$G$45</c:f>
              <c:numCache>
                <c:formatCode>General</c:formatCode>
                <c:ptCount val="6"/>
                <c:pt idx="0">
                  <c:v>0.44929999999999998</c:v>
                </c:pt>
                <c:pt idx="1">
                  <c:v>0.35949999999999999</c:v>
                </c:pt>
                <c:pt idx="2">
                  <c:v>0.14380000000000001</c:v>
                </c:pt>
                <c:pt idx="3">
                  <c:v>3.8300000000000001E-2</c:v>
                </c:pt>
                <c:pt idx="4">
                  <c:v>7.7000000000000002E-3</c:v>
                </c:pt>
                <c:pt idx="5">
                  <c:v>1.1999999999999999E-3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C1-43F1-BF3B-D24FD0D62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3742336"/>
        <c:axId val="572933392"/>
      </c:barChart>
      <c:catAx>
        <c:axId val="86374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2933392"/>
        <c:crosses val="autoZero"/>
        <c:auto val="1"/>
        <c:lblAlgn val="ctr"/>
        <c:lblOffset val="100"/>
        <c:noMultiLvlLbl val="0"/>
      </c:catAx>
      <c:valAx>
        <c:axId val="57293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374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1068845</xdr:colOff>
      <xdr:row>5</xdr:row>
      <xdr:rowOff>261399</xdr:rowOff>
    </xdr:from>
    <xdr:to>
      <xdr:col>12</xdr:col>
      <xdr:colOff>491435</xdr:colOff>
      <xdr:row>33</xdr:row>
      <xdr:rowOff>16564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251FD9A-D1EC-4858-9D8F-BFB899ABA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821765</xdr:colOff>
      <xdr:row>45</xdr:row>
      <xdr:rowOff>47812</xdr:rowOff>
    </xdr:from>
    <xdr:to>
      <xdr:col>6</xdr:col>
      <xdr:colOff>0</xdr:colOff>
      <xdr:row>59</xdr:row>
      <xdr:rowOff>176306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976B6DD-22A6-45E1-BBB2-C1B18D728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B42" zoomScale="130" zoomScaleNormal="130" workbookViewId="0">
      <selection activeCell="G50" sqref="G50"/>
    </sheetView>
  </sheetViews>
  <sheetFormatPr defaultRowHeight="14.5" x14ac:dyDescent="0.35"/>
  <cols>
    <col min="1" max="1" width="36.1796875" customWidth="1"/>
    <col min="2" max="2" width="25.54296875" customWidth="1"/>
    <col min="3" max="3" width="27.08984375" customWidth="1"/>
    <col min="4" max="4" width="28.453125" customWidth="1"/>
    <col min="5" max="5" width="20.90625" customWidth="1"/>
    <col min="6" max="6" width="27.81640625" customWidth="1"/>
  </cols>
  <sheetData>
    <row r="1" spans="1:6" ht="18" customHeight="1" thickBot="1" x14ac:dyDescent="0.65">
      <c r="A1" s="7" t="s">
        <v>0</v>
      </c>
      <c r="B1" s="7">
        <v>1</v>
      </c>
      <c r="C1" s="7">
        <v>2</v>
      </c>
      <c r="D1" s="7">
        <v>3</v>
      </c>
      <c r="E1" s="7">
        <v>4</v>
      </c>
      <c r="F1" s="7">
        <v>5</v>
      </c>
    </row>
    <row r="2" spans="1:6" ht="30.5" thickBot="1" x14ac:dyDescent="0.4">
      <c r="A2" s="8" t="s">
        <v>1</v>
      </c>
      <c r="B2" s="1">
        <v>0.36</v>
      </c>
      <c r="C2" s="2">
        <v>0.53100000000000003</v>
      </c>
      <c r="D2" s="2">
        <v>0.49199999999999999</v>
      </c>
      <c r="E2" s="2">
        <v>0.499</v>
      </c>
      <c r="F2" s="3">
        <v>0.50700000000000001</v>
      </c>
    </row>
    <row r="3" spans="1:6" ht="30.5" thickBot="1" x14ac:dyDescent="0.4">
      <c r="A3" s="8" t="s">
        <v>2</v>
      </c>
      <c r="B3" s="4">
        <v>0.52300000000000002</v>
      </c>
      <c r="C3" s="5">
        <v>0.30099999999999999</v>
      </c>
      <c r="D3" s="5">
        <v>0.30599999999999999</v>
      </c>
      <c r="E3" s="5">
        <v>0.3</v>
      </c>
      <c r="F3" s="6">
        <v>0.30299999999999999</v>
      </c>
    </row>
    <row r="4" spans="1:6" ht="30.5" thickBot="1" x14ac:dyDescent="0.4">
      <c r="A4" s="8" t="s">
        <v>3</v>
      </c>
      <c r="B4" s="4">
        <v>0.11700000000000001</v>
      </c>
      <c r="C4" s="5">
        <v>0.16800000000000001</v>
      </c>
      <c r="D4" s="5">
        <v>0.20100000000000001</v>
      </c>
      <c r="E4" s="5">
        <v>0.20100000000000001</v>
      </c>
      <c r="F4" s="6">
        <v>0.19</v>
      </c>
    </row>
    <row r="5" spans="1:6" ht="26.5" thickBot="1" x14ac:dyDescent="0.4">
      <c r="A5" s="8"/>
      <c r="B5" s="4"/>
      <c r="C5" s="5"/>
      <c r="D5" s="5"/>
      <c r="E5" s="5"/>
      <c r="F5" s="6"/>
    </row>
    <row r="6" spans="1:6" ht="26.5" thickBot="1" x14ac:dyDescent="0.4">
      <c r="A6" s="8"/>
      <c r="B6" s="4"/>
      <c r="C6" s="5"/>
      <c r="D6" s="5"/>
      <c r="E6" s="5"/>
      <c r="F6" s="6"/>
    </row>
    <row r="39" spans="1:8" ht="15" customHeight="1" x14ac:dyDescent="0.35"/>
    <row r="43" spans="1:8" x14ac:dyDescent="0.35">
      <c r="A43" t="s">
        <v>0</v>
      </c>
      <c r="B43">
        <v>0</v>
      </c>
      <c r="C43">
        <v>1</v>
      </c>
      <c r="D43">
        <v>2</v>
      </c>
      <c r="E43">
        <v>3</v>
      </c>
      <c r="F43">
        <v>4</v>
      </c>
      <c r="G43">
        <v>5</v>
      </c>
      <c r="H43">
        <v>6</v>
      </c>
    </row>
    <row r="44" spans="1:8" x14ac:dyDescent="0.35">
      <c r="A44" t="s">
        <v>5</v>
      </c>
      <c r="B44">
        <f>0.4471</f>
        <v>0.4471</v>
      </c>
      <c r="C44">
        <f xml:space="preserve"> 0.3621</f>
        <v>0.36209999999999998</v>
      </c>
      <c r="D44">
        <f xml:space="preserve"> 0.1425</f>
        <v>0.14249999999999999</v>
      </c>
      <c r="E44">
        <f xml:space="preserve"> 0.0389</f>
        <v>3.8899999999999997E-2</v>
      </c>
      <c r="F44">
        <f xml:space="preserve"> 0.0078</f>
        <v>7.7999999999999996E-3</v>
      </c>
      <c r="G44">
        <f xml:space="preserve"> 0.0014</f>
        <v>1.4E-3</v>
      </c>
      <c r="H44">
        <f xml:space="preserve"> 0.0002</f>
        <v>2.0000000000000001E-4</v>
      </c>
    </row>
    <row r="45" spans="1:8" x14ac:dyDescent="0.35">
      <c r="A45" t="s">
        <v>4</v>
      </c>
      <c r="B45">
        <f>0.4493</f>
        <v>0.44929999999999998</v>
      </c>
      <c r="C45">
        <f>0.3595</f>
        <v>0.35949999999999999</v>
      </c>
      <c r="D45">
        <f>0.1438</f>
        <v>0.14380000000000001</v>
      </c>
      <c r="E45">
        <f>0.0383</f>
        <v>3.8300000000000001E-2</v>
      </c>
      <c r="F45">
        <f>0.0077</f>
        <v>7.7000000000000002E-3</v>
      </c>
      <c r="G45">
        <f>0.0012</f>
        <v>1.1999999999999999E-3</v>
      </c>
      <c r="H45">
        <f>0.0002</f>
        <v>2.0000000000000001E-4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</dc:creator>
  <cp:lastModifiedBy>Ula</cp:lastModifiedBy>
  <dcterms:created xsi:type="dcterms:W3CDTF">2015-06-05T18:19:34Z</dcterms:created>
  <dcterms:modified xsi:type="dcterms:W3CDTF">2025-11-24T23:02:32Z</dcterms:modified>
</cp:coreProperties>
</file>